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nis.b\Desktop\"/>
    </mc:Choice>
  </mc:AlternateContent>
  <xr:revisionPtr revIDLastSave="0" documentId="8_{BDCC78AA-18F9-47DA-A0AB-362D2C45C719}" xr6:coauthVersionLast="47" xr6:coauthVersionMax="47" xr10:uidLastSave="{00000000-0000-0000-0000-000000000000}"/>
  <bookViews>
    <workbookView xWindow="20370" yWindow="-120" windowWidth="20730" windowHeight="11040" tabRatio="8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7" i="3"/>
</calcChain>
</file>

<file path=xl/sharedStrings.xml><?xml version="1.0" encoding="utf-8"?>
<sst xmlns="http://schemas.openxmlformats.org/spreadsheetml/2006/main" count="2019" uniqueCount="324">
  <si>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</si>
  <si>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</si>
  <si>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</si>
  <si>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</si>
  <si>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</si>
  <si>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</si>
  <si>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</si>
  <si>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</si>
  <si>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</si>
  <si>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</si>
  <si>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</si>
  <si>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</si>
  <si>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</si>
  <si>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</si>
  <si>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</si>
  <si>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</si>
  <si>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</si>
  <si>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</si>
  <si>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</si>
  <si>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</si>
  <si>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</si>
  <si>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</si>
  <si>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</si>
  <si>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</si>
  <si>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</si>
  <si>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</si>
  <si>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</si>
  <si>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</si>
  <si>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</si>
  <si>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</si>
  <si>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</si>
  <si>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</si>
  <si>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</si>
  <si>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</si>
  <si>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</si>
  <si>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</si>
  <si>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</si>
  <si>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</si>
  <si>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</si>
  <si>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</si>
  <si>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</si>
  <si>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</si>
  <si>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</si>
  <si>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</si>
  <si>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</si>
  <si>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</si>
  <si>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</si>
  <si>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</si>
  <si>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</si>
  <si>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</si>
  <si>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</si>
  <si>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</si>
  <si>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</si>
  <si>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</si>
  <si>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</si>
  <si>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</si>
  <si>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</si>
  <si>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</si>
  <si>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</si>
  <si>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</si>
  <si>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</si>
  <si>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</si>
  <si>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</si>
  <si>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</si>
  <si>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</si>
  <si>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</si>
  <si>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</si>
  <si>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</si>
  <si>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</si>
  <si>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</si>
  <si>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</si>
  <si>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</si>
  <si>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</si>
  <si>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</si>
  <si>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</si>
  <si>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</si>
  <si>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</si>
  <si>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</si>
  <si>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</si>
  <si>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</si>
  <si>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</si>
  <si>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</si>
  <si>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</si>
  <si>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</si>
  <si>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</si>
  <si>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</si>
  <si>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</si>
  <si>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</si>
  <si>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</si>
  <si>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</si>
  <si>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</si>
  <si>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</si>
  <si>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</si>
  <si>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</si>
  <si>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</si>
  <si>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</si>
  <si>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</si>
  <si>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</si>
  <si>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</si>
  <si>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</si>
  <si>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</si>
  <si>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</si>
  <si>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</si>
  <si>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</si>
  <si>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</si>
  <si>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</si>
  <si>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</si>
  <si>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</si>
  <si>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</si>
  <si>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</si>
  <si>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</si>
  <si>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</si>
  <si>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</si>
  <si>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</si>
  <si>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</si>
  <si>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</si>
  <si>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</si>
  <si>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</si>
  <si>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</si>
  <si>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</si>
  <si>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</si>
  <si>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</si>
  <si>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</si>
  <si>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</si>
  <si>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</si>
  <si>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</si>
  <si>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</si>
  <si>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</si>
  <si>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</si>
  <si>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</si>
  <si>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</si>
  <si>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</si>
  <si>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</si>
  <si>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</si>
  <si>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</si>
  <si>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</si>
  <si>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</si>
  <si>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</si>
  <si>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</si>
  <si>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</si>
  <si>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</si>
  <si>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</si>
  <si>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</si>
  <si>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</si>
  <si>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</si>
  <si>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</si>
  <si>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</si>
  <si>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</si>
  <si>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</si>
  <si>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</si>
  <si>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</si>
  <si>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</si>
  <si>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</si>
  <si>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</si>
  <si>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</si>
  <si>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</si>
  <si>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</si>
  <si>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</si>
  <si>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</si>
  <si>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</si>
  <si>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</si>
  <si>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</si>
  <si>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</si>
  <si>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</si>
  <si>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</si>
  <si>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</si>
  <si>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</si>
  <si>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</si>
  <si>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</si>
  <si>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</si>
  <si>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</si>
  <si>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</si>
  <si>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</si>
  <si>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</si>
  <si>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</si>
  <si>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</si>
  <si>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</si>
  <si>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</si>
  <si>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</si>
  <si>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</si>
  <si>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</si>
  <si>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</si>
  <si>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</si>
  <si>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</si>
  <si>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</si>
  <si>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</si>
  <si>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</si>
  <si>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</si>
  <si>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</si>
  <si>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</si>
  <si>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</si>
  <si>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</si>
  <si>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</si>
  <si>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</si>
  <si>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</si>
  <si>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</si>
  <si>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</si>
  <si>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</si>
  <si>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</si>
  <si>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</si>
  <si>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</si>
  <si>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</si>
  <si>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</si>
  <si>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</si>
  <si>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</si>
  <si>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</si>
  <si>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</si>
  <si>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</si>
  <si>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</si>
  <si>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</si>
  <si>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</si>
  <si>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</si>
  <si>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</si>
  <si>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</si>
  <si>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</si>
  <si>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</si>
  <si>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</si>
  <si>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</si>
  <si>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</si>
  <si>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</si>
  <si>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</si>
  <si>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</si>
  <si>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</si>
  <si>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</si>
  <si>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</si>
  <si>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</si>
  <si>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</si>
  <si>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</si>
  <si>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</si>
  <si>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</si>
  <si>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</si>
  <si>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</si>
  <si>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</si>
  <si>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</si>
  <si>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</si>
  <si>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</si>
  <si>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</si>
  <si>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</si>
  <si>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</si>
  <si>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</si>
  <si>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</si>
  <si>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</si>
  <si>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</si>
  <si>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</si>
  <si>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</si>
  <si>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</si>
  <si>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</si>
  <si>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</si>
  <si>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</si>
  <si>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</si>
  <si>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</si>
  <si>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</si>
  <si>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</si>
  <si>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</si>
  <si>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</si>
  <si>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</si>
  <si>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</si>
  <si>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</si>
  <si>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</si>
  <si>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</si>
  <si>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</si>
  <si>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</si>
  <si>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</si>
  <si>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</si>
  <si>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</si>
  <si>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</si>
  <si>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</si>
  <si>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</si>
  <si>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</si>
  <si>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</si>
  <si>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</si>
  <si>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</si>
  <si>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</si>
  <si>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</si>
  <si>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</si>
  <si>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</si>
  <si>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</si>
  <si>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</si>
  <si>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</si>
  <si>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</si>
  <si>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</si>
  <si>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</si>
  <si>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</si>
  <si>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</si>
  <si>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</si>
  <si>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</si>
  <si>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</si>
  <si>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</si>
  <si>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</si>
  <si>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</si>
  <si>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</si>
  <si>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</si>
  <si>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</si>
  <si>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</si>
  <si>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</si>
  <si>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</si>
  <si>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</si>
  <si>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</si>
  <si>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</si>
  <si>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</si>
  <si>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</si>
  <si>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</si>
  <si>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</si>
  <si>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</si>
  <si>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</si>
  <si>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</si>
  <si>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</si>
  <si>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</si>
  <si>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</si>
  <si>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</si>
  <si>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</si>
  <si>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</si>
  <si>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</si>
  <si>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</si>
  <si>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Rótulos de Linha</t>
  </si>
  <si>
    <t>Total Geral</t>
  </si>
  <si>
    <t>Soma de Total Value</t>
  </si>
  <si>
    <t>Pergunta de Negócio 1 - Qual faturamento Total de vendas de planos anuais (contendo todas as assinaturas agregadas)</t>
  </si>
  <si>
    <t>Pergunta de Negócio 2 - Qual faturamento Total de vendas de planos anuais, separado por auto renovação e que não é por auto renovação.</t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</si>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</sst>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 applyAlignment="1">
      <alignment horizontal="center"/>
    </xf>
    <xf numFmtId="0" fontId="0" fillId="0" borderId="0" xfId="0" applyFill="1"/>
    <xf numFmtId="0" fontId="1" fillId="0" borderId="2" xfId="1" applyBorder="1"/>
    <xf numFmtId="0" fontId="0" fillId="0" borderId="0" xfId="0" applyNumberFormat="1"/>
    <xf numFmtId="165" fontId="0" fillId="0" borderId="0" xfId="0" applyNumberFormat="1"/>
    <xf numFmtId="0" fontId="0" fillId="0" borderId="2" xfId="0" applyBorder="1"/>
    <xf numFmtId="0" fontId="5" fillId="0" borderId="2" xfId="1" applyFont="1" applyBorder="1" applyAlignment="1">
      <alignment horizontal="left" indent="12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FC1BDC06-7F8C-4831-8064-34E34B98A870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5BF6AB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trike val="0"/>
            <color rgb="FF828282"/>
          </font>
          <fill>
            <patternFill patternType="solid">
              <fgColor theme="2"/>
              <bgColor theme="0" tint="-0.34998626667073579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9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 COM EXCEL.xlsx]C̳álculos!tbl_annual_total</c:name>
    <c:fmtId val="3"/>
  </c:pivotSource>
  <c:chart>
    <c:autoTitleDeleted val="1"/>
    <c:pivotFmts>
      <c:pivotFmt>
        <c:idx val="0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4-45BC-A805-F5BCEA4A4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2447552"/>
        <c:axId val="502450072"/>
      </c:barChart>
      <c:catAx>
        <c:axId val="50244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2450072"/>
        <c:crosses val="autoZero"/>
        <c:auto val="1"/>
        <c:lblAlgn val="ctr"/>
        <c:lblOffset val="100"/>
        <c:noMultiLvlLbl val="0"/>
      </c:catAx>
      <c:valAx>
        <c:axId val="50245007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02447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202407</xdr:colOff>
      <xdr:row>0</xdr:row>
      <xdr:rowOff>22822</xdr:rowOff>
    </xdr:from>
    <xdr:to>
      <xdr:col>3</xdr:col>
      <xdr:colOff>59531</xdr:colOff>
      <xdr:row>2</xdr:row>
      <xdr:rowOff>11908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AF7F53-4261-416F-8943-D53C189CEF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39" t="24459" r="72360" b="24291"/>
        <a:stretch>
          <a:fillRect/>
        </a:stretch>
      </xdr:blipFill>
      <xdr:spPr>
        <a:xfrm>
          <a:off x="1976438" y="22822"/>
          <a:ext cx="702468" cy="643930"/>
        </a:xfrm>
        <a:prstGeom prst="rect">
          <a:avLst/>
        </a:prstGeom>
      </xdr:spPr>
    </xdr:pic>
    <xdr:clientData/>
  </xdr:twoCellAnchor>
  <xdr:twoCellAnchor>
    <xdr:from>
      <xdr:col>2</xdr:col>
      <xdr:colOff>297657</xdr:colOff>
      <xdr:row>13</xdr:row>
      <xdr:rowOff>119062</xdr:rowOff>
    </xdr:from>
    <xdr:to>
      <xdr:col>19</xdr:col>
      <xdr:colOff>23812</xdr:colOff>
      <xdr:row>30</xdr:row>
      <xdr:rowOff>88105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74CA6462-4472-D1AB-C182-498CA9CFDE0E}"/>
            </a:ext>
          </a:extLst>
        </xdr:cNvPr>
        <xdr:cNvGrpSpPr/>
      </xdr:nvGrpSpPr>
      <xdr:grpSpPr>
        <a:xfrm>
          <a:off x="2309813" y="3298031"/>
          <a:ext cx="9882187" cy="3207543"/>
          <a:chOff x="2309813" y="3298031"/>
          <a:chExt cx="9584531" cy="3207543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C95BA55E-8248-238F-9317-FCE6BD834536}"/>
              </a:ext>
            </a:extLst>
          </xdr:cNvPr>
          <xdr:cNvGrpSpPr/>
        </xdr:nvGrpSpPr>
        <xdr:grpSpPr>
          <a:xfrm>
            <a:off x="2309813" y="3298031"/>
            <a:ext cx="9584531" cy="3119438"/>
            <a:chOff x="2309813" y="3298031"/>
            <a:chExt cx="9584531" cy="3119438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E1A1BDDC-4476-07EF-F714-7CB826190EDE}"/>
                </a:ext>
              </a:extLst>
            </xdr:cNvPr>
            <xdr:cNvSpPr/>
          </xdr:nvSpPr>
          <xdr:spPr>
            <a:xfrm>
              <a:off x="2309813" y="3298031"/>
              <a:ext cx="9584531" cy="3119438"/>
            </a:xfrm>
            <a:prstGeom prst="roundRect">
              <a:avLst>
                <a:gd name="adj" fmla="val 9415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3" name="Retângulo: Cantos Superiores Arredondados 22">
              <a:extLst>
                <a:ext uri="{FF2B5EF4-FFF2-40B4-BE49-F238E27FC236}">
                  <a16:creationId xmlns:a16="http://schemas.microsoft.com/office/drawing/2014/main" id="{422DD31C-88F2-49BE-8FD3-CB02BACF5B30}"/>
                </a:ext>
              </a:extLst>
            </xdr:cNvPr>
            <xdr:cNvSpPr/>
          </xdr:nvSpPr>
          <xdr:spPr>
            <a:xfrm>
              <a:off x="2321720" y="3309938"/>
              <a:ext cx="9572624" cy="481121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7FC4DDBE-6A65-4F89-ACF4-B5EB7F3FB42A}"/>
              </a:ext>
            </a:extLst>
          </xdr:cNvPr>
          <xdr:cNvGraphicFramePr>
            <a:graphicFrameLocks/>
          </xdr:cNvGraphicFramePr>
        </xdr:nvGraphicFramePr>
        <xdr:xfrm>
          <a:off x="2405676" y="3762374"/>
          <a:ext cx="9405324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2</xdr:row>
      <xdr:rowOff>452439</xdr:rowOff>
    </xdr:from>
    <xdr:to>
      <xdr:col>0</xdr:col>
      <xdr:colOff>1762125</xdr:colOff>
      <xdr:row>13</xdr:row>
      <xdr:rowOff>35718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60C751A-1B75-4492-A573-EC2737A360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07283"/>
              <a:ext cx="1762125" cy="21074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2</xdr:col>
      <xdr:colOff>303609</xdr:colOff>
      <xdr:row>4</xdr:row>
      <xdr:rowOff>77390</xdr:rowOff>
    </xdr:from>
    <xdr:to>
      <xdr:col>10</xdr:col>
      <xdr:colOff>285750</xdr:colOff>
      <xdr:row>11</xdr:row>
      <xdr:rowOff>101203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4177CF33-1093-FD5E-75DD-C9813B29951A}"/>
            </a:ext>
          </a:extLst>
        </xdr:cNvPr>
        <xdr:cNvGrpSpPr/>
      </xdr:nvGrpSpPr>
      <xdr:grpSpPr>
        <a:xfrm>
          <a:off x="2315765" y="1387078"/>
          <a:ext cx="4839891" cy="1512094"/>
          <a:chOff x="2244328" y="1285875"/>
          <a:chExt cx="4595813" cy="1571625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AD996E32-455C-7EE8-E687-F341ACB3C886}"/>
              </a:ext>
            </a:extLst>
          </xdr:cNvPr>
          <xdr:cNvGrpSpPr/>
        </xdr:nvGrpSpPr>
        <xdr:grpSpPr>
          <a:xfrm>
            <a:off x="2244328" y="1285875"/>
            <a:ext cx="4595813" cy="1571625"/>
            <a:chOff x="2250281" y="1285875"/>
            <a:chExt cx="4595813" cy="1571625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DED30931-BC5E-2E49-60F9-A578F7FA4841}"/>
                </a:ext>
              </a:extLst>
            </xdr:cNvPr>
            <xdr:cNvSpPr/>
          </xdr:nvSpPr>
          <xdr:spPr>
            <a:xfrm>
              <a:off x="2250281" y="1285875"/>
              <a:ext cx="4595813" cy="157162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7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39A8682D-5B7E-4D51-B8E2-3838BA51F495}"/>
                </a:ext>
              </a:extLst>
            </xdr:cNvPr>
            <xdr:cNvSpPr/>
          </xdr:nvSpPr>
          <xdr:spPr>
            <a:xfrm>
              <a:off x="3821909" y="1595437"/>
              <a:ext cx="2702718" cy="988219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B962E6-B973-4381-A23A-1C0167C71F8C}" type="TxLink">
                <a:rPr lang="en-US" sz="4000" b="0" i="0" u="none" strike="noStrike">
                  <a:solidFill>
                    <a:srgbClr val="2AE6B1"/>
                  </a:solidFill>
                  <a:latin typeface="Aptos Narrow"/>
                </a:rPr>
                <a:pPr algn="ctr"/>
                <a:t>R$ 990,00</a:t>
              </a:fld>
              <a:endParaRPr lang="pt-BR" sz="4000">
                <a:solidFill>
                  <a:srgbClr val="2AE6B1"/>
                </a:solidFill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D59F6A04-FD30-4B71-A41C-332E19697C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559844" y="1476375"/>
              <a:ext cx="1219200" cy="1219200"/>
            </a:xfrm>
            <a:prstGeom prst="rect">
              <a:avLst/>
            </a:prstGeom>
          </xdr:spPr>
        </xdr:pic>
      </xdr:grp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1D1B2491-135B-88C4-22DC-EF0BF3FC7F40}"/>
              </a:ext>
            </a:extLst>
          </xdr:cNvPr>
          <xdr:cNvSpPr/>
        </xdr:nvSpPr>
        <xdr:spPr>
          <a:xfrm>
            <a:off x="2244328" y="1285875"/>
            <a:ext cx="4595813" cy="500063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416718</xdr:colOff>
      <xdr:row>4</xdr:row>
      <xdr:rowOff>77390</xdr:rowOff>
    </xdr:from>
    <xdr:to>
      <xdr:col>19</xdr:col>
      <xdr:colOff>11906</xdr:colOff>
      <xdr:row>11</xdr:row>
      <xdr:rowOff>101203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BC10106F-526C-B396-2657-9091F50ED2C4}"/>
            </a:ext>
          </a:extLst>
        </xdr:cNvPr>
        <xdr:cNvGrpSpPr/>
      </xdr:nvGrpSpPr>
      <xdr:grpSpPr>
        <a:xfrm>
          <a:off x="7286624" y="1387078"/>
          <a:ext cx="4893470" cy="1512094"/>
          <a:chOff x="7286624" y="1387078"/>
          <a:chExt cx="4554141" cy="1512094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1CD83D78-365A-4510-98BE-491C5CC854A1}"/>
              </a:ext>
            </a:extLst>
          </xdr:cNvPr>
          <xdr:cNvGrpSpPr/>
        </xdr:nvGrpSpPr>
        <xdr:grpSpPr>
          <a:xfrm>
            <a:off x="7286624" y="1387078"/>
            <a:ext cx="4554141" cy="1512094"/>
            <a:chOff x="2208282" y="1285875"/>
            <a:chExt cx="4595813" cy="1571625"/>
          </a:xfrm>
        </xdr:grpSpPr>
        <xdr:grpSp>
          <xdr:nvGrpSpPr>
            <xdr:cNvPr id="14" name="Agrupar 13">
              <a:extLst>
                <a:ext uri="{FF2B5EF4-FFF2-40B4-BE49-F238E27FC236}">
                  <a16:creationId xmlns:a16="http://schemas.microsoft.com/office/drawing/2014/main" id="{22F4869E-4501-A538-DCC1-0355E70E6A2B}"/>
                </a:ext>
              </a:extLst>
            </xdr:cNvPr>
            <xdr:cNvGrpSpPr/>
          </xdr:nvGrpSpPr>
          <xdr:grpSpPr>
            <a:xfrm>
              <a:off x="2208282" y="1285875"/>
              <a:ext cx="4595813" cy="1571625"/>
              <a:chOff x="2214235" y="1285875"/>
              <a:chExt cx="4595813" cy="1571625"/>
            </a:xfrm>
          </xdr:grpSpPr>
          <xdr:sp macro="" textlink="">
            <xdr:nvSpPr>
              <xdr:cNvPr id="16" name="Retângulo: Cantos Arredondados 15">
                <a:extLst>
                  <a:ext uri="{FF2B5EF4-FFF2-40B4-BE49-F238E27FC236}">
                    <a16:creationId xmlns:a16="http://schemas.microsoft.com/office/drawing/2014/main" id="{621F7190-CB7E-FFF3-4CEC-F631BF776520}"/>
                  </a:ext>
                </a:extLst>
              </xdr:cNvPr>
              <xdr:cNvSpPr/>
            </xdr:nvSpPr>
            <xdr:spPr>
              <a:xfrm>
                <a:off x="2214235" y="1285875"/>
                <a:ext cx="4595813" cy="1571625"/>
              </a:xfrm>
              <a:prstGeom prst="roundRect">
                <a:avLst/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E36">
            <xdr:nvSpPr>
              <xdr:cNvPr id="17" name="Retângulo: Cantos Arredondados 16">
                <a:extLst>
                  <a:ext uri="{FF2B5EF4-FFF2-40B4-BE49-F238E27FC236}">
                    <a16:creationId xmlns:a16="http://schemas.microsoft.com/office/drawing/2014/main" id="{3CB9DBE2-00EB-289D-94DA-5A59CE8D305D}"/>
                  </a:ext>
                </a:extLst>
              </xdr:cNvPr>
              <xdr:cNvSpPr/>
            </xdr:nvSpPr>
            <xdr:spPr>
              <a:xfrm>
                <a:off x="3824272" y="1644937"/>
                <a:ext cx="2856552" cy="988219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83E696D4-4539-4193-99B9-A93877607293}" type="TxLink">
                  <a:rPr lang="en-US" sz="4000" b="0" i="0" u="none" strike="noStrike">
                    <a:solidFill>
                      <a:srgbClr val="2AE6B1"/>
                    </a:solidFill>
                    <a:latin typeface="Aptos Narrow"/>
                  </a:rPr>
                  <a:t>R$ 1.140,00</a:t>
                </a:fld>
                <a:endParaRPr lang="pt-BR" sz="4000">
                  <a:solidFill>
                    <a:srgbClr val="2AE6B1"/>
                  </a:solidFill>
                </a:endParaRPr>
              </a:p>
            </xdr:txBody>
          </xdr:sp>
        </xdr:grpSp>
        <xdr:sp macro="" textlink="">
          <xdr:nvSpPr>
            <xdr:cNvPr id="15" name="Retângulo: Cantos Superiores Arredondados 14">
              <a:extLst>
                <a:ext uri="{FF2B5EF4-FFF2-40B4-BE49-F238E27FC236}">
                  <a16:creationId xmlns:a16="http://schemas.microsoft.com/office/drawing/2014/main" id="{D5CF7A59-902C-94F5-7589-F131E8B63701}"/>
                </a:ext>
              </a:extLst>
            </xdr:cNvPr>
            <xdr:cNvSpPr/>
          </xdr:nvSpPr>
          <xdr:spPr>
            <a:xfrm>
              <a:off x="2208282" y="1285875"/>
              <a:ext cx="4595813" cy="500063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16942C26-1162-4BCB-9157-F705E8FED152}"/>
              </a:ext>
            </a:extLst>
          </xdr:cNvPr>
          <xdr:cNvGrpSpPr/>
        </xdr:nvGrpSpPr>
        <xdr:grpSpPr>
          <a:xfrm>
            <a:off x="7620000" y="1928813"/>
            <a:ext cx="1131094" cy="559593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6D2317A0-4A61-4CC8-6906-233C83D34A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A74AE90E-8E8C-F606-EB01-D3390F659F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571501</xdr:colOff>
      <xdr:row>0</xdr:row>
      <xdr:rowOff>175717</xdr:rowOff>
    </xdr:from>
    <xdr:to>
      <xdr:col>0</xdr:col>
      <xdr:colOff>1190626</xdr:colOff>
      <xdr:row>2</xdr:row>
      <xdr:rowOff>97137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DA338036-5A4A-4690-8D48-F8D09FBD8BB4}"/>
            </a:ext>
          </a:extLst>
        </xdr:cNvPr>
        <xdr:cNvSpPr/>
      </xdr:nvSpPr>
      <xdr:spPr>
        <a:xfrm>
          <a:off x="571501" y="175717"/>
          <a:ext cx="619125" cy="57626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261937</xdr:colOff>
      <xdr:row>2</xdr:row>
      <xdr:rowOff>142875</xdr:rowOff>
    </xdr:from>
    <xdr:to>
      <xdr:col>0</xdr:col>
      <xdr:colOff>1738312</xdr:colOff>
      <xdr:row>2</xdr:row>
      <xdr:rowOff>404813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263D0985-F76F-0C97-B3DB-1EF417FA11FB}"/>
            </a:ext>
          </a:extLst>
        </xdr:cNvPr>
        <xdr:cNvSpPr/>
      </xdr:nvSpPr>
      <xdr:spPr>
        <a:xfrm>
          <a:off x="261937" y="797719"/>
          <a:ext cx="1476375" cy="26193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Bem</a:t>
          </a:r>
          <a:r>
            <a:rPr lang="pt-BR" sz="1100" baseline="0"/>
            <a:t> vinda, Liana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is Willian Barreto dos Santos" refreshedDate="46310.553252777776" createdVersion="8" refreshedVersion="8" minRefreshableVersion="3" recordCount="295" xr:uid="{332B5827-7D39-48B0-9218-44EFEBD8A85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023430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2A848-16F5-4E8C-8001-6010D589FBBE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4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807B2-5A68-4C42-A1AE-571CF37189D3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4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h="1"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6B859-B975-4B4A-8CDA-DA95369EE11C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E64D604-FA5B-46C8-BDA6-73D4DB7E8306}" sourceName="Subscription Type">
  <pivotTables>
    <pivotTable tabId="3" name="tbl_annual_total"/>
    <pivotTable tabId="3" name="tbl_easeasonpass_total"/>
    <pivotTable tabId="3" name="Tabela dinâmica3"/>
  </pivotTables>
  <data>
    <tabular pivotCacheId="210234309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3B5FEA2-62D9-49A3-BB8A-63D1236122BC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W8" sqref="W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W8" sqref="W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7"/>
  <sheetViews>
    <sheetView showGridLines="0" topLeftCell="A25" workbookViewId="0">
      <selection activeCell="W8" sqref="W8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5" t="s">
        <v>313</v>
      </c>
      <c r="C3" s="15"/>
      <c r="D3" s="15"/>
      <c r="E3" s="15"/>
      <c r="F3" s="15"/>
    </row>
    <row r="5" spans="2:6" x14ac:dyDescent="0.25">
      <c r="B5" t="s">
        <v>317</v>
      </c>
    </row>
    <row r="6" spans="2:6" x14ac:dyDescent="0.25">
      <c r="B6" t="s">
        <v>318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314</v>
      </c>
      <c r="C11" t="s">
        <v>316</v>
      </c>
    </row>
    <row r="12" spans="2:6" x14ac:dyDescent="0.25">
      <c r="B12" s="13" t="s">
        <v>23</v>
      </c>
      <c r="C12" s="14">
        <v>806</v>
      </c>
    </row>
    <row r="13" spans="2:6" x14ac:dyDescent="0.25">
      <c r="B13" s="13" t="s">
        <v>19</v>
      </c>
      <c r="C13" s="14">
        <v>1502</v>
      </c>
    </row>
    <row r="14" spans="2:6" x14ac:dyDescent="0.25">
      <c r="B14" s="13" t="s">
        <v>315</v>
      </c>
      <c r="C14" s="14">
        <v>2308</v>
      </c>
    </row>
    <row r="20" spans="2:5" x14ac:dyDescent="0.25">
      <c r="B20" t="s">
        <v>320</v>
      </c>
    </row>
    <row r="22" spans="2:5" x14ac:dyDescent="0.25">
      <c r="B22" s="12" t="s">
        <v>16</v>
      </c>
      <c r="C22" t="s">
        <v>27</v>
      </c>
    </row>
    <row r="24" spans="2:5" x14ac:dyDescent="0.25">
      <c r="B24" s="12" t="s">
        <v>314</v>
      </c>
      <c r="C24" t="s">
        <v>321</v>
      </c>
    </row>
    <row r="25" spans="2:5" x14ac:dyDescent="0.25">
      <c r="B25" s="13" t="s">
        <v>18</v>
      </c>
      <c r="C25" s="18">
        <v>990</v>
      </c>
    </row>
    <row r="26" spans="2:5" x14ac:dyDescent="0.25">
      <c r="B26" s="13" t="s">
        <v>315</v>
      </c>
      <c r="C26" s="18">
        <v>990</v>
      </c>
    </row>
    <row r="27" spans="2:5" x14ac:dyDescent="0.25">
      <c r="E27" s="19">
        <f>GETPIVOTDATA("EA Play Season Pass
Price",$B$24)</f>
        <v>990</v>
      </c>
    </row>
    <row r="30" spans="2:5" x14ac:dyDescent="0.25">
      <c r="B30" t="s">
        <v>322</v>
      </c>
    </row>
    <row r="32" spans="2:5" x14ac:dyDescent="0.25">
      <c r="B32" s="12" t="s">
        <v>16</v>
      </c>
      <c r="C32" t="s">
        <v>27</v>
      </c>
    </row>
    <row r="34" spans="2:5" x14ac:dyDescent="0.25">
      <c r="B34" s="12" t="s">
        <v>314</v>
      </c>
      <c r="C34" t="s">
        <v>323</v>
      </c>
    </row>
    <row r="35" spans="2:5" x14ac:dyDescent="0.25">
      <c r="B35" s="13" t="s">
        <v>26</v>
      </c>
      <c r="C35" s="14">
        <v>480</v>
      </c>
    </row>
    <row r="36" spans="2:5" x14ac:dyDescent="0.25">
      <c r="B36" s="13" t="s">
        <v>18</v>
      </c>
      <c r="C36" s="14">
        <v>660</v>
      </c>
      <c r="E36" s="19">
        <f>GETPIVOTDATA("Minecraft Season Pass Price",$B$34)</f>
        <v>1140</v>
      </c>
    </row>
    <row r="37" spans="2:5" x14ac:dyDescent="0.25">
      <c r="B37" s="13" t="s">
        <v>315</v>
      </c>
      <c r="C37" s="14"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8"/>
  <sheetViews>
    <sheetView showGridLines="0" showRowColHeaders="0" tabSelected="1" zoomScale="80" zoomScaleNormal="80" workbookViewId="0">
      <selection activeCell="W15" sqref="W15"/>
    </sheetView>
  </sheetViews>
  <sheetFormatPr defaultRowHeight="15" x14ac:dyDescent="0.25"/>
  <cols>
    <col min="1" max="1" width="26.5703125" style="4" customWidth="1"/>
    <col min="2" max="2" width="3.5703125" style="7" customWidth="1"/>
    <col min="3" max="11" width="9.140625" style="7"/>
    <col min="12" max="12" width="6.5703125" style="7" customWidth="1"/>
    <col min="13" max="16384" width="9.140625" style="7"/>
  </cols>
  <sheetData>
    <row r="1" spans="1:19" s="16" customFormat="1" x14ac:dyDescent="0.25">
      <c r="A1" s="4"/>
    </row>
    <row r="2" spans="1:19" customFormat="1" ht="36.75" customHeight="1" thickBot="1" x14ac:dyDescent="0.5">
      <c r="A2" s="4"/>
      <c r="C2" s="21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20"/>
      <c r="S2" s="20"/>
    </row>
    <row r="3" spans="1:19" customFormat="1" ht="36.75" customHeight="1" thickTop="1" x14ac:dyDescent="0.25">
      <c r="A3" s="4"/>
    </row>
    <row r="7" spans="1:19" ht="9.75" customHeight="1" x14ac:dyDescent="0.25"/>
    <row r="8" spans="1:19" ht="33" customHeight="1" x14ac:dyDescent="0.25"/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Denis Willian Barreto dos Santos</cp:lastModifiedBy>
  <dcterms:created xsi:type="dcterms:W3CDTF">2024-12-19T13:13:10Z</dcterms:created>
  <dcterms:modified xsi:type="dcterms:W3CDTF">2026-10-15T21:23:36Z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