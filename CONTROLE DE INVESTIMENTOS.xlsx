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nis.b\Desktop\"/>
    </mc:Choice>
  </mc:AlternateContent>
  <xr:revisionPtr revIDLastSave="0" documentId="13_ncr:1_{9DA1445F-4D6E-4C8E-A604-574D35E5EA95}" xr6:coauthVersionLast="47" xr6:coauthVersionMax="47" xr10:uidLastSave="{00000000-0000-0000-0000-000000000000}"/>
  <bookViews>
    <workbookView xWindow="20370" yWindow="-120" windowWidth="20730" windowHeight="11040" xr2:uid="{0577A69C-28D8-4EB4-A0F4-63FB2694BD14}"/>
  </bookViews>
  <sheets>
    <sheet name="Planilha1" sheetId="1" r:id="rId1"/>
    <sheet name="Planilha2" sheetId="2" r:id="rId2"/>
  </sheets>
  <definedNames>
    <definedName name="aporte">Planilha1!$C$16</definedName>
    <definedName name="patrimonio">Planilha1!$C$19</definedName>
    <definedName name="qtd_anos">Planilha1!$C$17</definedName>
    <definedName name="Rendimento_Carteira">Planilha1!$C$12</definedName>
    <definedName name="salario">Planilha1!$C$11</definedName>
    <definedName name="sugestao_investimento">Planilha1!$C$13</definedName>
    <definedName name="taxa_mensal">Planilha1!$C$18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L8" i="2"/>
  <c r="D14" i="2"/>
  <c r="D15" i="2"/>
  <c r="D16" i="2"/>
  <c r="D17" i="2"/>
  <c r="D18" i="2"/>
  <c r="D19" i="2"/>
  <c r="D20" i="2"/>
  <c r="D21" i="2"/>
  <c r="D22" i="2"/>
  <c r="D23" i="2"/>
  <c r="D24" i="2"/>
  <c r="D25" i="2"/>
  <c r="D9" i="2"/>
  <c r="D10" i="2"/>
  <c r="D11" i="2"/>
  <c r="D12" i="2"/>
  <c r="D13" i="2"/>
  <c r="D8" i="2"/>
  <c r="C31" i="1"/>
  <c r="C19" i="1"/>
  <c r="C20" i="1" s="1"/>
  <c r="C13" i="1"/>
  <c r="C28" i="1"/>
  <c r="D28" i="1" s="1"/>
  <c r="C27" i="1"/>
  <c r="D27" i="1" s="1"/>
  <c r="C26" i="1"/>
  <c r="D26" i="1" s="1"/>
  <c r="C25" i="1"/>
  <c r="D25" i="1" s="1"/>
  <c r="C24" i="1"/>
  <c r="D24" i="1" s="1"/>
  <c r="C23" i="1"/>
  <c r="D23" i="1" s="1"/>
  <c r="D39" i="1" l="1"/>
  <c r="D38" i="1"/>
  <c r="D37" i="1"/>
  <c r="D36" i="1"/>
  <c r="D35" i="1"/>
  <c r="C40" i="1"/>
  <c r="D34" i="1"/>
  <c r="D40" i="1" l="1"/>
</calcChain>
</file>

<file path=xl/sharedStrings.xml><?xml version="1.0" encoding="utf-8"?>
<sst xmlns="http://schemas.openxmlformats.org/spreadsheetml/2006/main" count="78" uniqueCount="41">
  <si>
    <t>Quanto investir por mês</t>
  </si>
  <si>
    <t>Por quantos anos</t>
  </si>
  <si>
    <t>Taxa de rendimento mensal</t>
  </si>
  <si>
    <t>Quanto de patrimônio acumulado terei</t>
  </si>
  <si>
    <t>Dividendos mensais</t>
  </si>
  <si>
    <t>Quanto investir por mês ?</t>
  </si>
  <si>
    <t>Por quantos anos ?</t>
  </si>
  <si>
    <t>Taxa de rendimento mensal ?</t>
  </si>
  <si>
    <t>Quanto de patrimônio acumulado terei ?</t>
  </si>
  <si>
    <t>Dividendos mensais ?</t>
  </si>
  <si>
    <t>INVESTIMENTO MENSAL</t>
  </si>
  <si>
    <t>Quanto em 2 anos?</t>
  </si>
  <si>
    <t>Quanto em 5 anos?</t>
  </si>
  <si>
    <t>Quanto em 10 anos?</t>
  </si>
  <si>
    <t>Quanto em 20 anos?</t>
  </si>
  <si>
    <t>Quanto em 30 anos?</t>
  </si>
  <si>
    <t>Quanto em 50 anos?</t>
  </si>
  <si>
    <t>CENÁRIOS</t>
  </si>
  <si>
    <t>DIVIDENDOS</t>
  </si>
  <si>
    <t>Rendimento Carteira</t>
  </si>
  <si>
    <t>Salário</t>
  </si>
  <si>
    <t>CONFIGURAÇÕES</t>
  </si>
  <si>
    <t>AGRESSIVO</t>
  </si>
  <si>
    <t>MODERADO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</si>
  <si>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</si>
  <si>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</si>
  <si>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</si>
  <si>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</si>
  <si>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</si>
  <si>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</si>
  <si>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</si>
  <si>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</si>
  <si>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</si>
  <si>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</si>
  <si>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</si>
  <si>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CONSERVADOR</t>
  </si>
  <si>
    <t>%</t>
  </si>
  <si>
    <t>CHAVE</t>
  </si>
  <si>
    <t>MODERADO-TIJOLO</t>
  </si>
  <si>
    <t>TESTE DO PROCV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</si>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</sst>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3" formatCode="_-* #,##0.00_-;\-* #,##0.00_-;_-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0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20"/>
      <color theme="1" tint="4.9989318521683403E-2"/>
      <name val="Times New Roman"/>
      <family val="1"/>
    </font>
    <font>
      <sz val="13"/>
      <color theme="5" tint="-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76E3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thin">
        <color theme="0" tint="-0.24994659260841701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/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center"/>
    </xf>
    <xf numFmtId="164" fontId="3" fillId="3" borderId="12" xfId="0" applyNumberFormat="1" applyFont="1" applyFill="1" applyBorder="1" applyAlignment="1">
      <alignment horizontal="center"/>
    </xf>
    <xf numFmtId="164" fontId="3" fillId="3" borderId="4" xfId="0" applyNumberFormat="1" applyFont="1" applyFill="1" applyBorder="1" applyAlignment="1">
      <alignment horizontal="center"/>
    </xf>
    <xf numFmtId="164" fontId="3" fillId="3" borderId="13" xfId="0" applyNumberFormat="1" applyFont="1" applyFill="1" applyBorder="1" applyAlignment="1">
      <alignment horizontal="center"/>
    </xf>
    <xf numFmtId="164" fontId="3" fillId="3" borderId="14" xfId="0" applyNumberFormat="1" applyFont="1" applyFill="1" applyBorder="1" applyAlignment="1">
      <alignment horizontal="center"/>
    </xf>
    <xf numFmtId="0" fontId="5" fillId="2" borderId="2" xfId="0" applyFont="1" applyFill="1" applyBorder="1"/>
    <xf numFmtId="164" fontId="3" fillId="3" borderId="10" xfId="0" applyNumberFormat="1" applyFont="1" applyFill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24" xfId="0" applyBorder="1"/>
    <xf numFmtId="0" fontId="0" fillId="0" borderId="24" xfId="0" applyBorder="1" applyAlignment="1">
      <alignment horizontal="center"/>
    </xf>
    <xf numFmtId="9" fontId="0" fillId="0" borderId="24" xfId="0" applyNumberFormat="1" applyBorder="1" applyAlignment="1">
      <alignment horizontal="center"/>
    </xf>
    <xf numFmtId="0" fontId="0" fillId="8" borderId="0" xfId="0" applyFill="1"/>
    <xf numFmtId="9" fontId="0" fillId="8" borderId="0" xfId="0" applyNumberFormat="1" applyFill="1"/>
    <xf numFmtId="0" fontId="3" fillId="3" borderId="3" xfId="0" applyFont="1" applyFill="1" applyBorder="1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7" fillId="5" borderId="0" xfId="0" applyFont="1" applyFill="1"/>
    <xf numFmtId="0" fontId="7" fillId="5" borderId="0" xfId="0" applyFont="1" applyFill="1" applyAlignment="1">
      <alignment horizontal="center"/>
    </xf>
    <xf numFmtId="0" fontId="4" fillId="6" borderId="0" xfId="0" applyFont="1" applyFill="1"/>
    <xf numFmtId="164" fontId="4" fillId="6" borderId="0" xfId="0" applyNumberFormat="1" applyFont="1" applyFill="1" applyAlignment="1">
      <alignment horizontal="center"/>
    </xf>
    <xf numFmtId="0" fontId="3" fillId="0" borderId="0" xfId="0" applyFont="1"/>
    <xf numFmtId="0" fontId="4" fillId="7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/>
    </xf>
    <xf numFmtId="164" fontId="3" fillId="3" borderId="0" xfId="0" applyNumberFormat="1" applyFont="1" applyFill="1" applyAlignment="1">
      <alignment horizontal="center"/>
    </xf>
    <xf numFmtId="0" fontId="3" fillId="7" borderId="0" xfId="0" applyFont="1" applyFill="1"/>
    <xf numFmtId="9" fontId="3" fillId="7" borderId="0" xfId="0" applyNumberFormat="1" applyFont="1" applyFill="1" applyAlignment="1">
      <alignment horizontal="center"/>
    </xf>
    <xf numFmtId="164" fontId="3" fillId="7" borderId="0" xfId="0" applyNumberFormat="1" applyFont="1" applyFill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0" borderId="3" xfId="0" applyFont="1" applyBorder="1"/>
    <xf numFmtId="164" fontId="4" fillId="0" borderId="12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0" fontId="3" fillId="0" borderId="5" xfId="0" applyFont="1" applyBorder="1"/>
    <xf numFmtId="0" fontId="4" fillId="0" borderId="13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13" xfId="1" applyNumberFormat="1" applyFont="1" applyBorder="1" applyAlignment="1">
      <alignment horizontal="center"/>
    </xf>
    <xf numFmtId="10" fontId="4" fillId="0" borderId="6" xfId="1" applyNumberFormat="1" applyFont="1" applyBorder="1" applyAlignment="1">
      <alignment horizontal="center"/>
    </xf>
    <xf numFmtId="0" fontId="4" fillId="3" borderId="5" xfId="0" applyFont="1" applyFill="1" applyBorder="1"/>
    <xf numFmtId="8" fontId="4" fillId="3" borderId="13" xfId="0" applyNumberFormat="1" applyFont="1" applyFill="1" applyBorder="1" applyAlignment="1">
      <alignment horizontal="center"/>
    </xf>
    <xf numFmtId="8" fontId="4" fillId="3" borderId="6" xfId="0" applyNumberFormat="1" applyFont="1" applyFill="1" applyBorder="1" applyAlignment="1">
      <alignment horizontal="center"/>
    </xf>
    <xf numFmtId="0" fontId="4" fillId="3" borderId="7" xfId="0" applyFont="1" applyFill="1" applyBorder="1"/>
    <xf numFmtId="8" fontId="4" fillId="3" borderId="14" xfId="0" applyNumberFormat="1" applyFont="1" applyFill="1" applyBorder="1" applyAlignment="1">
      <alignment horizontal="center"/>
    </xf>
    <xf numFmtId="8" fontId="4" fillId="3" borderId="8" xfId="0" applyNumberFormat="1" applyFont="1" applyFill="1" applyBorder="1" applyAlignment="1">
      <alignment horizontal="center"/>
    </xf>
    <xf numFmtId="0" fontId="3" fillId="3" borderId="15" xfId="0" applyFont="1" applyFill="1" applyBorder="1"/>
    <xf numFmtId="164" fontId="3" fillId="0" borderId="17" xfId="0" applyNumberFormat="1" applyFont="1" applyBorder="1" applyAlignment="1">
      <alignment horizontal="center"/>
    </xf>
    <xf numFmtId="164" fontId="3" fillId="0" borderId="19" xfId="0" applyNumberFormat="1" applyFont="1" applyBorder="1" applyAlignment="1">
      <alignment horizontal="center"/>
    </xf>
    <xf numFmtId="0" fontId="3" fillId="3" borderId="9" xfId="0" applyFont="1" applyFill="1" applyBorder="1"/>
    <xf numFmtId="10" fontId="3" fillId="0" borderId="18" xfId="0" applyNumberFormat="1" applyFont="1" applyBorder="1" applyAlignment="1">
      <alignment horizontal="center"/>
    </xf>
    <xf numFmtId="10" fontId="3" fillId="0" borderId="20" xfId="0" applyNumberFormat="1" applyFont="1" applyBorder="1" applyAlignment="1">
      <alignment horizontal="center"/>
    </xf>
    <xf numFmtId="0" fontId="3" fillId="3" borderId="16" xfId="0" applyFont="1" applyFill="1" applyBorder="1"/>
    <xf numFmtId="164" fontId="3" fillId="0" borderId="21" xfId="0" applyNumberFormat="1" applyFont="1" applyBorder="1" applyAlignment="1">
      <alignment horizontal="center"/>
    </xf>
    <xf numFmtId="164" fontId="3" fillId="0" borderId="22" xfId="0" applyNumberFormat="1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00FF99"/>
      <color rgb="FF00FFFF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Planilha1!$C$33</c:f>
              <c:strCache>
                <c:ptCount val="1"/>
                <c:pt idx="0">
                  <c:v>Percentual Sugerido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Planilha1!$C$34:$C$39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0C-467B-B470-A976DCC8E2A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0">
            <a:schemeClr val="accent1">
              <a:lumMod val="5000"/>
              <a:lumOff val="95000"/>
            </a:schemeClr>
          </a:gs>
          <a:gs pos="74000">
            <a:schemeClr val="accent1">
              <a:lumMod val="45000"/>
              <a:lumOff val="5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123822</xdr:colOff>
      <xdr:row>0</xdr:row>
      <xdr:rowOff>85726</xdr:rowOff>
    </xdr:from>
    <xdr:to>
      <xdr:col>3</xdr:col>
      <xdr:colOff>1085849</xdr:colOff>
      <xdr:row>8</xdr:row>
      <xdr:rowOff>107124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BE35171-778E-DF73-7F71-2B2231BB3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2" y="85726"/>
          <a:ext cx="6372227" cy="154539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40</xdr:row>
      <xdr:rowOff>38100</xdr:rowOff>
    </xdr:from>
    <xdr:to>
      <xdr:col>4</xdr:col>
      <xdr:colOff>19050</xdr:colOff>
      <xdr:row>55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E56B35D-503C-532D-BBCD-E56D84B0BC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451D6-795C-458E-9D8C-F90EBA027329}">
  <dimension ref="A1:G56"/>
  <sheetViews>
    <sheetView showGridLines="0" tabSelected="1" topLeftCell="A22" workbookViewId="0">
      <selection activeCell="B14" sqref="B14:D14"/>
    </sheetView>
  </sheetViews>
  <sheetFormatPr defaultColWidth="0" defaultRowHeight="15" zeroHeight="1" x14ac:dyDescent="0.25"/>
  <cols>
    <col min="1" max="1" width="2" customWidth="1"/>
    <col min="2" max="2" width="45.28515625" bestFit="1" customWidth="1"/>
    <col min="3" max="3" width="33.85546875" bestFit="1" customWidth="1"/>
    <col min="4" max="4" width="16.28515625" bestFit="1" customWidth="1"/>
    <col min="5" max="5" width="1.7109375" customWidth="1"/>
    <col min="6" max="6" width="3.7109375" hidden="1" customWidth="1"/>
    <col min="7" max="7" width="2.140625" hidden="1" customWidth="1"/>
    <col min="8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5.75" thickBot="1" x14ac:dyDescent="0.3"/>
    <row r="10" spans="2:4" ht="26.25" x14ac:dyDescent="0.4">
      <c r="B10" s="33" t="s">
        <v>21</v>
      </c>
      <c r="C10" s="34"/>
      <c r="D10" s="35"/>
    </row>
    <row r="11" spans="2:4" ht="17.25" x14ac:dyDescent="0.3">
      <c r="B11" s="51" t="s">
        <v>20</v>
      </c>
      <c r="C11" s="52">
        <v>4200</v>
      </c>
      <c r="D11" s="53"/>
    </row>
    <row r="12" spans="2:4" ht="17.25" x14ac:dyDescent="0.3">
      <c r="B12" s="54" t="s">
        <v>19</v>
      </c>
      <c r="C12" s="55">
        <v>8.5000000000000006E-3</v>
      </c>
      <c r="D12" s="56"/>
    </row>
    <row r="13" spans="2:4" ht="18" thickBot="1" x14ac:dyDescent="0.35">
      <c r="B13" s="57" t="s">
        <v>40</v>
      </c>
      <c r="C13" s="58">
        <f>$C$11*30%</f>
        <v>1260</v>
      </c>
      <c r="D13" s="59"/>
    </row>
    <row r="14" spans="2:4" ht="15.75" thickBot="1" x14ac:dyDescent="0.3">
      <c r="B14" s="30"/>
      <c r="C14" s="30"/>
      <c r="D14" s="30"/>
    </row>
    <row r="15" spans="2:4" ht="26.25" x14ac:dyDescent="0.4">
      <c r="B15" s="31" t="s">
        <v>10</v>
      </c>
      <c r="C15" s="32"/>
      <c r="D15" s="36"/>
    </row>
    <row r="16" spans="2:4" ht="17.25" x14ac:dyDescent="0.3">
      <c r="B16" s="37" t="s">
        <v>5</v>
      </c>
      <c r="C16" s="38">
        <v>1260</v>
      </c>
      <c r="D16" s="39"/>
    </row>
    <row r="17" spans="2:4" ht="17.25" x14ac:dyDescent="0.3">
      <c r="B17" s="40" t="s">
        <v>6</v>
      </c>
      <c r="C17" s="41">
        <v>5</v>
      </c>
      <c r="D17" s="42"/>
    </row>
    <row r="18" spans="2:4" ht="17.25" x14ac:dyDescent="0.3">
      <c r="B18" s="40" t="s">
        <v>7</v>
      </c>
      <c r="C18" s="43">
        <v>1.0789999999999999E-2</v>
      </c>
      <c r="D18" s="44"/>
    </row>
    <row r="19" spans="2:4" ht="17.25" x14ac:dyDescent="0.3">
      <c r="B19" s="45" t="s">
        <v>8</v>
      </c>
      <c r="C19" s="46">
        <f>FV(taxa_mensal,qtd_anos*12,aporte*-1)</f>
        <v>105558.91163809443</v>
      </c>
      <c r="D19" s="47"/>
    </row>
    <row r="20" spans="2:4" ht="18" thickBot="1" x14ac:dyDescent="0.35">
      <c r="B20" s="48" t="s">
        <v>9</v>
      </c>
      <c r="C20" s="49">
        <f>patrimonio*Rendimento_Carteira</f>
        <v>897.25074892380269</v>
      </c>
      <c r="D20" s="50"/>
    </row>
    <row r="21" spans="2:4" ht="15.75" thickBot="1" x14ac:dyDescent="0.3">
      <c r="B21" s="29"/>
      <c r="C21" s="29"/>
      <c r="D21" s="29"/>
    </row>
    <row r="22" spans="2:4" ht="26.25" x14ac:dyDescent="0.4">
      <c r="B22" s="31" t="s">
        <v>17</v>
      </c>
      <c r="C22" s="32"/>
      <c r="D22" s="6" t="s">
        <v>18</v>
      </c>
    </row>
    <row r="23" spans="2:4" ht="17.25" x14ac:dyDescent="0.3">
      <c r="B23" s="14" t="s">
        <v>11</v>
      </c>
      <c r="C23" s="2">
        <f>FV($C$18,2*12,$C$16)*-1</f>
        <v>34306.810395032975</v>
      </c>
      <c r="D23" s="3">
        <f t="shared" ref="D23:D28" si="0">C23*Rendimento_Carteira</f>
        <v>291.60788835778033</v>
      </c>
    </row>
    <row r="24" spans="2:4" ht="17.25" x14ac:dyDescent="0.3">
      <c r="B24" s="15" t="s">
        <v>12</v>
      </c>
      <c r="C24" s="4">
        <f>FV($C$18,5*12,$C$16)*-1</f>
        <v>105558.91163809443</v>
      </c>
      <c r="D24" s="3">
        <f t="shared" si="0"/>
        <v>897.25074892380269</v>
      </c>
    </row>
    <row r="25" spans="2:4" ht="17.25" x14ac:dyDescent="0.3">
      <c r="B25" s="15" t="s">
        <v>13</v>
      </c>
      <c r="C25" s="4">
        <f>FV($C$18,10*12,$C$16)*-1</f>
        <v>306538.10778801696</v>
      </c>
      <c r="D25" s="3">
        <f t="shared" si="0"/>
        <v>2605.5739161981442</v>
      </c>
    </row>
    <row r="26" spans="2:4" ht="17.25" x14ac:dyDescent="0.3">
      <c r="B26" s="15" t="s">
        <v>14</v>
      </c>
      <c r="C26" s="4">
        <f>FV($C$18,20*12,$C$16)*-1</f>
        <v>1417749.9841223215</v>
      </c>
      <c r="D26" s="3">
        <f t="shared" si="0"/>
        <v>12050.874865039734</v>
      </c>
    </row>
    <row r="27" spans="2:4" ht="17.25" x14ac:dyDescent="0.3">
      <c r="B27" s="15" t="s">
        <v>15</v>
      </c>
      <c r="C27" s="4">
        <f>FV($C$18,30*12,$C$16)*-1</f>
        <v>5445933.7653059401</v>
      </c>
      <c r="D27" s="3">
        <f t="shared" si="0"/>
        <v>46290.437005100495</v>
      </c>
    </row>
    <row r="28" spans="2:4" ht="18" thickBot="1" x14ac:dyDescent="0.35">
      <c r="B28" s="16" t="s">
        <v>16</v>
      </c>
      <c r="C28" s="5">
        <f>FV($C$18,50*12,$C$16)*-1</f>
        <v>72982170.55520536</v>
      </c>
      <c r="D28" s="7">
        <f t="shared" si="0"/>
        <v>620348.44971924566</v>
      </c>
    </row>
    <row r="29" spans="2:4" ht="14.25" customHeight="1" x14ac:dyDescent="0.25">
      <c r="B29" s="29"/>
      <c r="C29" s="29"/>
      <c r="D29" s="29"/>
    </row>
    <row r="30" spans="2:4" ht="17.25" x14ac:dyDescent="0.3">
      <c r="B30" s="17" t="s">
        <v>25</v>
      </c>
      <c r="C30" s="18" t="s">
        <v>22</v>
      </c>
      <c r="D30" s="17"/>
    </row>
    <row r="31" spans="2:4" ht="17.25" x14ac:dyDescent="0.3">
      <c r="B31" s="19" t="s">
        <v>24</v>
      </c>
      <c r="C31" s="20">
        <f>aporte</f>
        <v>1260</v>
      </c>
      <c r="D31" s="19"/>
    </row>
    <row r="32" spans="2:4" ht="17.25" x14ac:dyDescent="0.3">
      <c r="B32" s="21"/>
      <c r="C32" s="21"/>
      <c r="D32" s="21"/>
    </row>
    <row r="33" spans="2:4" ht="17.25" x14ac:dyDescent="0.3">
      <c r="B33" s="22" t="s">
        <v>26</v>
      </c>
      <c r="C33" s="22" t="s">
        <v>27</v>
      </c>
      <c r="D33" s="22" t="s">
        <v>28</v>
      </c>
    </row>
    <row r="34" spans="2:4" ht="17.25" x14ac:dyDescent="0.3">
      <c r="B34" s="23" t="s">
        <v>29</v>
      </c>
      <c r="C34" s="24">
        <f>VLOOKUP($C$30&amp;"-"&amp;B34,Planilha2!D7:G25,4,FALSE)</f>
        <v>0.5</v>
      </c>
      <c r="D34" s="25">
        <f>C34*$C$31</f>
        <v>630</v>
      </c>
    </row>
    <row r="35" spans="2:4" ht="17.25" x14ac:dyDescent="0.3">
      <c r="B35" s="23" t="s">
        <v>30</v>
      </c>
      <c r="C35" s="24">
        <f>VLOOKUP($C$30&amp;"-"&amp;B35,Planilha2!D8:G26,4,FALSE)</f>
        <v>0.1</v>
      </c>
      <c r="D35" s="25">
        <f t="shared" ref="D35:D39" si="1">C35*$C$31</f>
        <v>126</v>
      </c>
    </row>
    <row r="36" spans="2:4" ht="17.25" x14ac:dyDescent="0.3">
      <c r="B36" s="23" t="s">
        <v>31</v>
      </c>
      <c r="C36" s="24">
        <f>VLOOKUP($C$30&amp;"-"&amp;B36,Planilha2!D9:G27,4,FALSE)</f>
        <v>0.05</v>
      </c>
      <c r="D36" s="25">
        <f t="shared" si="1"/>
        <v>63</v>
      </c>
    </row>
    <row r="37" spans="2:4" ht="17.25" x14ac:dyDescent="0.3">
      <c r="B37" s="23" t="s">
        <v>32</v>
      </c>
      <c r="C37" s="24">
        <f>VLOOKUP($C$30&amp;"-"&amp;B37,Planilha2!D10:G28,4,FALSE)</f>
        <v>0.05</v>
      </c>
      <c r="D37" s="25">
        <f t="shared" si="1"/>
        <v>63</v>
      </c>
    </row>
    <row r="38" spans="2:4" ht="17.25" x14ac:dyDescent="0.3">
      <c r="B38" s="23" t="s">
        <v>33</v>
      </c>
      <c r="C38" s="24">
        <f>VLOOKUP($C$30&amp;"-"&amp;B38,Planilha2!D11:G29,4,FALSE)</f>
        <v>0.2</v>
      </c>
      <c r="D38" s="25">
        <f t="shared" si="1"/>
        <v>252</v>
      </c>
    </row>
    <row r="39" spans="2:4" ht="17.25" x14ac:dyDescent="0.3">
      <c r="B39" s="23" t="s">
        <v>34</v>
      </c>
      <c r="C39" s="24">
        <f>VLOOKUP($C$30&amp;"-"&amp;B39,Planilha2!D12:G30,4,FALSE)</f>
        <v>0.1</v>
      </c>
      <c r="D39" s="25">
        <f t="shared" si="1"/>
        <v>126</v>
      </c>
    </row>
    <row r="40" spans="2:4" ht="17.25" x14ac:dyDescent="0.3">
      <c r="B40" s="26"/>
      <c r="C40" s="27">
        <f>SUM(C34:C39)</f>
        <v>1.0000000000000002</v>
      </c>
      <c r="D40" s="28">
        <f>SUM(D34:D39)</f>
        <v>1260</v>
      </c>
    </row>
    <row r="41" spans="2:4" x14ac:dyDescent="0.25"/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4">
    <mergeCell ref="B14:D14"/>
    <mergeCell ref="B22:C22"/>
    <mergeCell ref="B10:D10"/>
    <mergeCell ref="C11:D11"/>
    <mergeCell ref="C12:D12"/>
    <mergeCell ref="C13:D13"/>
    <mergeCell ref="B15:D15"/>
    <mergeCell ref="B21:D21"/>
    <mergeCell ref="B29:D29"/>
    <mergeCell ref="C16:D16"/>
    <mergeCell ref="C17:D17"/>
    <mergeCell ref="C18:D18"/>
    <mergeCell ref="C19:D19"/>
    <mergeCell ref="C20:D20"/>
  </mergeCells>
  <dataValidations count="1">
    <dataValidation type="list" allowBlank="1" showInputMessage="1" showErrorMessage="1" sqref="C30" xr:uid="{6FB805E6-430F-4BE5-855D-F5B44C31A365}">
      <formula1>"CONSERVADOR,MODERADO,AGRESSIVO,"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F17C-CE1C-4AE1-83E8-067D07288EB6}">
  <dimension ref="A1:L25"/>
  <sheetViews>
    <sheetView topLeftCell="B4" workbookViewId="0">
      <selection activeCell="H16" sqref="H16"/>
    </sheetView>
  </sheetViews>
  <sheetFormatPr defaultRowHeight="15" x14ac:dyDescent="0.25"/>
  <cols>
    <col min="1" max="1" width="36.28515625" bestFit="1" customWidth="1"/>
    <col min="4" max="4" width="33.85546875" bestFit="1" customWidth="1"/>
    <col min="5" max="5" width="14.7109375" bestFit="1" customWidth="1"/>
    <col min="6" max="6" width="19" bestFit="1" customWidth="1"/>
    <col min="11" max="11" width="18.5703125" bestFit="1" customWidth="1"/>
    <col min="12" max="12" width="12.140625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</row>
    <row r="4" spans="1:12" x14ac:dyDescent="0.25">
      <c r="A4" t="s">
        <v>3</v>
      </c>
    </row>
    <row r="5" spans="1:12" x14ac:dyDescent="0.25">
      <c r="A5" t="s">
        <v>4</v>
      </c>
    </row>
    <row r="6" spans="1:12" x14ac:dyDescent="0.25">
      <c r="K6" t="s">
        <v>39</v>
      </c>
    </row>
    <row r="7" spans="1:12" x14ac:dyDescent="0.25">
      <c r="D7" t="s">
        <v>37</v>
      </c>
      <c r="E7" t="s">
        <v>25</v>
      </c>
      <c r="F7" s="1" t="s">
        <v>26</v>
      </c>
      <c r="G7" s="1" t="s">
        <v>36</v>
      </c>
      <c r="L7" s="1" t="s">
        <v>36</v>
      </c>
    </row>
    <row r="8" spans="1:12" x14ac:dyDescent="0.25">
      <c r="D8" t="str">
        <f>E8&amp;"-"&amp;F8</f>
        <v>CONSERVADOR-PAPEL</v>
      </c>
      <c r="E8" t="s">
        <v>35</v>
      </c>
      <c r="F8" s="1" t="s">
        <v>29</v>
      </c>
      <c r="G8" s="8">
        <v>0.3</v>
      </c>
      <c r="K8" s="12" t="s">
        <v>38</v>
      </c>
      <c r="L8" s="13">
        <f>VLOOKUP(K8,$D:$G,4,FALSE)</f>
        <v>0.35</v>
      </c>
    </row>
    <row r="9" spans="1:12" x14ac:dyDescent="0.25">
      <c r="D9" t="str">
        <f t="shared" ref="D9:D25" si="0">E9&amp;"-"&amp;F9</f>
        <v>CONSERVADOR-TIJOLO</v>
      </c>
      <c r="E9" t="s">
        <v>35</v>
      </c>
      <c r="F9" s="1" t="s">
        <v>30</v>
      </c>
      <c r="G9" s="8">
        <v>0.5</v>
      </c>
    </row>
    <row r="10" spans="1:12" x14ac:dyDescent="0.25">
      <c r="D10" t="str">
        <f t="shared" si="0"/>
        <v>CONSERVADOR-HÍBRIDOS</v>
      </c>
      <c r="E10" t="s">
        <v>35</v>
      </c>
      <c r="F10" s="1" t="s">
        <v>31</v>
      </c>
      <c r="G10" s="8">
        <v>0.1</v>
      </c>
    </row>
    <row r="11" spans="1:12" x14ac:dyDescent="0.25">
      <c r="D11" t="str">
        <f t="shared" si="0"/>
        <v>CONSERVADOR-FOFs</v>
      </c>
      <c r="E11" t="s">
        <v>35</v>
      </c>
      <c r="F11" s="1" t="s">
        <v>32</v>
      </c>
      <c r="G11" s="8">
        <v>0.1</v>
      </c>
    </row>
    <row r="12" spans="1:12" x14ac:dyDescent="0.25">
      <c r="D12" t="str">
        <f t="shared" si="0"/>
        <v>CONSERVADOR-DESENVOLVIMENTO</v>
      </c>
      <c r="E12" t="s">
        <v>35</v>
      </c>
      <c r="F12" s="1" t="s">
        <v>33</v>
      </c>
      <c r="G12" s="8">
        <v>0</v>
      </c>
    </row>
    <row r="13" spans="1:12" x14ac:dyDescent="0.25">
      <c r="D13" t="str">
        <f t="shared" si="0"/>
        <v>CONSERVADOR-HOTELARIAS</v>
      </c>
      <c r="E13" t="s">
        <v>35</v>
      </c>
      <c r="F13" s="1" t="s">
        <v>34</v>
      </c>
      <c r="G13" s="8">
        <v>0</v>
      </c>
    </row>
    <row r="14" spans="1:12" x14ac:dyDescent="0.25">
      <c r="D14" t="str">
        <f t="shared" si="0"/>
        <v>MODERADO-PAPEL</v>
      </c>
      <c r="E14" s="9" t="s">
        <v>23</v>
      </c>
      <c r="F14" s="10" t="s">
        <v>29</v>
      </c>
      <c r="G14" s="11">
        <v>0.32</v>
      </c>
    </row>
    <row r="15" spans="1:12" x14ac:dyDescent="0.25">
      <c r="D15" t="str">
        <f t="shared" si="0"/>
        <v>MODERADO-TIJOLO</v>
      </c>
      <c r="E15" t="s">
        <v>23</v>
      </c>
      <c r="F15" s="1" t="s">
        <v>30</v>
      </c>
      <c r="G15" s="8">
        <v>0.35</v>
      </c>
    </row>
    <row r="16" spans="1:12" x14ac:dyDescent="0.25">
      <c r="D16" t="str">
        <f t="shared" si="0"/>
        <v>MODERADO-HÍBRIDOS</v>
      </c>
      <c r="E16" t="s">
        <v>23</v>
      </c>
      <c r="F16" s="1" t="s">
        <v>31</v>
      </c>
      <c r="G16" s="8">
        <v>0.08</v>
      </c>
    </row>
    <row r="17" spans="4:7" x14ac:dyDescent="0.25">
      <c r="D17" t="str">
        <f t="shared" si="0"/>
        <v>MODERADO-FOFs</v>
      </c>
      <c r="E17" t="s">
        <v>23</v>
      </c>
      <c r="F17" s="1" t="s">
        <v>32</v>
      </c>
      <c r="G17" s="8">
        <v>0.05</v>
      </c>
    </row>
    <row r="18" spans="4:7" x14ac:dyDescent="0.25">
      <c r="D18" t="str">
        <f t="shared" si="0"/>
        <v>MODERADO-DESENVOLVIMENTO</v>
      </c>
      <c r="E18" t="s">
        <v>23</v>
      </c>
      <c r="F18" s="1" t="s">
        <v>33</v>
      </c>
      <c r="G18" s="8">
        <v>0.1</v>
      </c>
    </row>
    <row r="19" spans="4:7" x14ac:dyDescent="0.25">
      <c r="D19" t="str">
        <f t="shared" si="0"/>
        <v>MODERADO-HOTELARIAS</v>
      </c>
      <c r="E19" t="s">
        <v>23</v>
      </c>
      <c r="F19" s="1" t="s">
        <v>34</v>
      </c>
      <c r="G19" s="8">
        <v>0.1</v>
      </c>
    </row>
    <row r="20" spans="4:7" x14ac:dyDescent="0.25">
      <c r="D20" t="str">
        <f t="shared" si="0"/>
        <v>AGRESSIVO-PAPEL</v>
      </c>
      <c r="E20" s="9" t="s">
        <v>22</v>
      </c>
      <c r="F20" s="10" t="s">
        <v>29</v>
      </c>
      <c r="G20" s="11">
        <v>0.5</v>
      </c>
    </row>
    <row r="21" spans="4:7" x14ac:dyDescent="0.25">
      <c r="D21" t="str">
        <f t="shared" si="0"/>
        <v>AGRESSIVO-TIJOLO</v>
      </c>
      <c r="E21" t="s">
        <v>22</v>
      </c>
      <c r="F21" s="1" t="s">
        <v>30</v>
      </c>
      <c r="G21" s="8">
        <v>0.1</v>
      </c>
    </row>
    <row r="22" spans="4:7" x14ac:dyDescent="0.25">
      <c r="D22" t="str">
        <f t="shared" si="0"/>
        <v>AGRESSIVO-HÍBRIDOS</v>
      </c>
      <c r="E22" t="s">
        <v>22</v>
      </c>
      <c r="F22" s="1" t="s">
        <v>31</v>
      </c>
      <c r="G22" s="8">
        <v>0.05</v>
      </c>
    </row>
    <row r="23" spans="4:7" x14ac:dyDescent="0.25">
      <c r="D23" t="str">
        <f t="shared" si="0"/>
        <v>AGRESSIVO-FOFs</v>
      </c>
      <c r="E23" t="s">
        <v>22</v>
      </c>
      <c r="F23" s="1" t="s">
        <v>32</v>
      </c>
      <c r="G23" s="8">
        <v>0.05</v>
      </c>
    </row>
    <row r="24" spans="4:7" x14ac:dyDescent="0.25">
      <c r="D24" t="str">
        <f t="shared" si="0"/>
        <v>AGRESSIVO-DESENVOLVIMENTO</v>
      </c>
      <c r="E24" t="s">
        <v>22</v>
      </c>
      <c r="F24" s="1" t="s">
        <v>33</v>
      </c>
      <c r="G24" s="8">
        <v>0.2</v>
      </c>
    </row>
    <row r="25" spans="4:7" x14ac:dyDescent="0.25">
      <c r="D25" t="str">
        <f t="shared" si="0"/>
        <v>AGRESSIVO-HOTELARIAS</v>
      </c>
      <c r="E25" t="s">
        <v>22</v>
      </c>
      <c r="F25" s="1" t="s">
        <v>34</v>
      </c>
      <c r="G25" s="8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Willian Barreto dos Santos</dc:creator>
  <cp:lastModifiedBy>Denis Willian Barreto dos Santos</cp:lastModifiedBy>
  <dcterms:created xsi:type="dcterms:W3CDTF">2026-10-08T16:08:43Z</dcterms:created>
  <dcterms:modified xsi:type="dcterms:W3CDTF">2026-10-08T19:22:11Z</dcterms:modified>
</cp:coreProperties>
</file>